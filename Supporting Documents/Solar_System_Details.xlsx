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vvr\Downloads\"/>
    </mc:Choice>
  </mc:AlternateContent>
  <xr:revisionPtr revIDLastSave="0" documentId="13_ncr:1_{A4121727-B16A-4C1C-9A1E-845C26DC9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ar System Breakdow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I14" i="1" s="1"/>
  <c r="H13" i="1"/>
  <c r="I13" i="1" s="1"/>
  <c r="H12" i="1"/>
  <c r="I12" i="1" s="1"/>
  <c r="I11" i="1"/>
  <c r="H11" i="1"/>
  <c r="H10" i="1"/>
  <c r="I10" i="1" s="1"/>
  <c r="H9" i="1"/>
  <c r="I9" i="1" s="1"/>
  <c r="H8" i="1"/>
  <c r="I8" i="1" s="1"/>
  <c r="I7" i="1"/>
  <c r="H7" i="1"/>
  <c r="H6" i="1"/>
  <c r="I6" i="1" s="1"/>
  <c r="H5" i="1"/>
  <c r="I5" i="1" s="1"/>
</calcChain>
</file>

<file path=xl/sharedStrings.xml><?xml version="1.0" encoding="utf-8"?>
<sst xmlns="http://schemas.openxmlformats.org/spreadsheetml/2006/main" count="11" uniqueCount="11">
  <si>
    <t>Solar Power System Cost &amp; Subsidy Estimate</t>
  </si>
  <si>
    <t>Detailed breakdown based on system capacity, energy output, space requirements, total cost, subsidies, and net effective cost.</t>
  </si>
  <si>
    <t>System Capacity
(kW)</t>
  </si>
  <si>
    <t>Daily Generation
(Units / kWh)</t>
  </si>
  <si>
    <t>Monthly Generation
(Units / kWh)</t>
  </si>
  <si>
    <t>Required Area
(Sq. Ft.)</t>
  </si>
  <si>
    <t>Total Cost
(₹)</t>
  </si>
  <si>
    <t>Central Subsidy
(₹)</t>
  </si>
  <si>
    <t>State Subsidy
(₹)</t>
  </si>
  <si>
    <t>Total Subsidy
(₹)</t>
  </si>
  <si>
    <t>Net Payable Amount
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</si>
</sst>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kW&quot;"/>
    <numFmt numFmtId="165" formatCode="#,##0&quot; Units&quot;"/>
    <numFmt numFmtId="166" formatCode="#,##0&quot; Sq.Ft.&quot;"/>
    <numFmt numFmtId="167" formatCode="\₹\ #,##0"/>
  </numFmts>
  <fonts count="5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165" fontId="0" fillId="3" borderId="2" xfId="0" applyNumberFormat="1" applyFill="1" applyBorder="1" applyAlignment="1">
      <alignment horizontal="center" vertical="center" wrapText="1"/>
    </xf>
    <xf numFmtId="166" fontId="0" fillId="3" borderId="2" xfId="0" applyNumberFormat="1" applyFill="1" applyBorder="1" applyAlignment="1">
      <alignment horizontal="center" vertical="center" wrapText="1"/>
    </xf>
    <xf numFmtId="167" fontId="0" fillId="3" borderId="2" xfId="0" applyNumberFormat="1" applyFill="1" applyBorder="1" applyAlignment="1">
      <alignment horizontal="right" vertical="center"/>
    </xf>
    <xf numFmtId="167" fontId="4" fillId="4" borderId="2" xfId="0" applyNumberFormat="1" applyFont="1" applyFill="1" applyBorder="1" applyAlignment="1">
      <alignment horizontal="right" vertical="center"/>
    </xf>
    <xf numFmtId="164" fontId="0" fillId="5" borderId="2" xfId="0" applyNumberFormat="1" applyFill="1" applyBorder="1" applyAlignment="1">
      <alignment horizontal="center" vertical="center" wrapText="1"/>
    </xf>
    <xf numFmtId="165" fontId="0" fillId="5" borderId="2" xfId="0" applyNumberFormat="1" applyFill="1" applyBorder="1" applyAlignment="1">
      <alignment horizontal="center" vertical="center" wrapText="1"/>
    </xf>
    <xf numFmtId="166" fontId="0" fillId="5" borderId="2" xfId="0" applyNumberFormat="1" applyFill="1" applyBorder="1" applyAlignment="1">
      <alignment horizontal="center" vertical="center" wrapText="1"/>
    </xf>
    <xf numFmtId="167" fontId="0" fillId="5" borderId="2" xfId="0" applyNumberForma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J14" sqref="J14"/>
    </sheetView>
  </sheetViews>
  <sheetFormatPr defaultRowHeight="14.4" x14ac:dyDescent="0.3"/>
  <cols>
    <col min="1" max="1" width="16" customWidth="1"/>
    <col min="2" max="2" width="18" customWidth="1"/>
    <col min="3" max="3" width="20" customWidth="1"/>
    <col min="4" max="6" width="18" customWidth="1"/>
    <col min="7" max="7" width="16" customWidth="1"/>
    <col min="8" max="8" width="18" customWidth="1"/>
    <col min="9" max="9" width="22" customWidth="1"/>
  </cols>
  <sheetData>
    <row r="1" spans="1:9" ht="2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</row>
    <row r="4" spans="1:9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9.95" customHeight="1" x14ac:dyDescent="0.3">
      <c r="A5" s="2">
        <v>1</v>
      </c>
      <c r="B5" s="3">
        <v>4</v>
      </c>
      <c r="C5" s="3">
        <v>120</v>
      </c>
      <c r="D5" s="4">
        <v>80</v>
      </c>
      <c r="E5" s="5">
        <v>70000</v>
      </c>
      <c r="F5" s="5">
        <v>30000</v>
      </c>
      <c r="G5" s="5">
        <v>10000</v>
      </c>
      <c r="H5" s="5">
        <f t="shared" ref="H5:H14" si="0">F5+G5</f>
        <v>40000</v>
      </c>
      <c r="I5" s="6">
        <f t="shared" ref="I5:I14" si="1">E5-H5</f>
        <v>30000</v>
      </c>
    </row>
    <row r="6" spans="1:9" ht="19.95" customHeight="1" x14ac:dyDescent="0.3">
      <c r="A6" s="7">
        <v>2</v>
      </c>
      <c r="B6" s="8">
        <v>8</v>
      </c>
      <c r="C6" s="8">
        <v>240</v>
      </c>
      <c r="D6" s="9">
        <v>160</v>
      </c>
      <c r="E6" s="10">
        <v>140000</v>
      </c>
      <c r="F6" s="10">
        <v>60000</v>
      </c>
      <c r="G6" s="10">
        <v>20000</v>
      </c>
      <c r="H6" s="10">
        <f t="shared" si="0"/>
        <v>80000</v>
      </c>
      <c r="I6" s="6">
        <f t="shared" si="1"/>
        <v>60000</v>
      </c>
    </row>
    <row r="7" spans="1:9" ht="19.95" customHeight="1" x14ac:dyDescent="0.3">
      <c r="A7" s="2">
        <v>3</v>
      </c>
      <c r="B7" s="3">
        <v>12</v>
      </c>
      <c r="C7" s="3">
        <v>360</v>
      </c>
      <c r="D7" s="4">
        <v>240</v>
      </c>
      <c r="E7" s="5">
        <v>210000</v>
      </c>
      <c r="F7" s="5">
        <v>78000</v>
      </c>
      <c r="G7" s="5">
        <v>20000</v>
      </c>
      <c r="H7" s="5">
        <f t="shared" si="0"/>
        <v>98000</v>
      </c>
      <c r="I7" s="6">
        <f t="shared" si="1"/>
        <v>112000</v>
      </c>
    </row>
    <row r="8" spans="1:9" ht="19.95" customHeight="1" x14ac:dyDescent="0.3">
      <c r="A8" s="7">
        <v>4</v>
      </c>
      <c r="B8" s="8">
        <v>16</v>
      </c>
      <c r="C8" s="8">
        <v>480</v>
      </c>
      <c r="D8" s="9">
        <v>320</v>
      </c>
      <c r="E8" s="10">
        <v>280000</v>
      </c>
      <c r="F8" s="10">
        <v>78000</v>
      </c>
      <c r="G8" s="10">
        <v>20000</v>
      </c>
      <c r="H8" s="10">
        <f t="shared" si="0"/>
        <v>98000</v>
      </c>
      <c r="I8" s="6">
        <f t="shared" si="1"/>
        <v>182000</v>
      </c>
    </row>
    <row r="9" spans="1:9" ht="19.95" customHeight="1" x14ac:dyDescent="0.3">
      <c r="A9" s="2">
        <v>5</v>
      </c>
      <c r="B9" s="3">
        <v>20</v>
      </c>
      <c r="C9" s="3">
        <v>600</v>
      </c>
      <c r="D9" s="4">
        <v>400</v>
      </c>
      <c r="E9" s="5">
        <v>325000</v>
      </c>
      <c r="F9" s="5">
        <v>78000</v>
      </c>
      <c r="G9" s="5">
        <v>20000</v>
      </c>
      <c r="H9" s="5">
        <f t="shared" si="0"/>
        <v>98000</v>
      </c>
      <c r="I9" s="6">
        <f t="shared" si="1"/>
        <v>227000</v>
      </c>
    </row>
    <row r="10" spans="1:9" ht="19.95" customHeight="1" x14ac:dyDescent="0.3">
      <c r="A10" s="7">
        <v>6</v>
      </c>
      <c r="B10" s="8">
        <v>24</v>
      </c>
      <c r="C10" s="8">
        <v>720</v>
      </c>
      <c r="D10" s="9">
        <v>480</v>
      </c>
      <c r="E10" s="10">
        <v>390000</v>
      </c>
      <c r="F10" s="10">
        <v>78000</v>
      </c>
      <c r="G10" s="10">
        <v>20000</v>
      </c>
      <c r="H10" s="10">
        <f t="shared" si="0"/>
        <v>98000</v>
      </c>
      <c r="I10" s="6">
        <f t="shared" si="1"/>
        <v>292000</v>
      </c>
    </row>
    <row r="11" spans="1:9" ht="19.95" customHeight="1" x14ac:dyDescent="0.3">
      <c r="A11" s="2">
        <v>7</v>
      </c>
      <c r="B11" s="3">
        <v>28</v>
      </c>
      <c r="C11" s="3">
        <v>840</v>
      </c>
      <c r="D11" s="4">
        <v>560</v>
      </c>
      <c r="E11" s="5">
        <v>455000</v>
      </c>
      <c r="F11" s="5">
        <v>78000</v>
      </c>
      <c r="G11" s="5">
        <v>20000</v>
      </c>
      <c r="H11" s="5">
        <f t="shared" si="0"/>
        <v>98000</v>
      </c>
      <c r="I11" s="6">
        <f t="shared" si="1"/>
        <v>357000</v>
      </c>
    </row>
    <row r="12" spans="1:9" ht="19.95" customHeight="1" x14ac:dyDescent="0.3">
      <c r="A12" s="7">
        <v>8</v>
      </c>
      <c r="B12" s="8">
        <v>32</v>
      </c>
      <c r="C12" s="8">
        <v>960</v>
      </c>
      <c r="D12" s="9">
        <v>640</v>
      </c>
      <c r="E12" s="10">
        <v>520000</v>
      </c>
      <c r="F12" s="10">
        <v>78000</v>
      </c>
      <c r="G12" s="10">
        <v>20000</v>
      </c>
      <c r="H12" s="10">
        <f t="shared" si="0"/>
        <v>98000</v>
      </c>
      <c r="I12" s="6">
        <f t="shared" si="1"/>
        <v>422000</v>
      </c>
    </row>
    <row r="13" spans="1:9" ht="19.95" customHeight="1" x14ac:dyDescent="0.3">
      <c r="A13" s="2">
        <v>9</v>
      </c>
      <c r="B13" s="3">
        <v>36</v>
      </c>
      <c r="C13" s="3">
        <v>1080</v>
      </c>
      <c r="D13" s="4">
        <v>720</v>
      </c>
      <c r="E13" s="5">
        <v>585000</v>
      </c>
      <c r="F13" s="5">
        <v>78000</v>
      </c>
      <c r="G13" s="5">
        <v>20000</v>
      </c>
      <c r="H13" s="5">
        <f t="shared" si="0"/>
        <v>98000</v>
      </c>
      <c r="I13" s="6">
        <f t="shared" si="1"/>
        <v>487000</v>
      </c>
    </row>
    <row r="14" spans="1:9" ht="19.95" customHeight="1" x14ac:dyDescent="0.3">
      <c r="A14" s="7">
        <v>10</v>
      </c>
      <c r="B14" s="8">
        <v>40</v>
      </c>
      <c r="C14" s="8">
        <v>1200</v>
      </c>
      <c r="D14" s="9">
        <v>800</v>
      </c>
      <c r="E14" s="10">
        <v>620000</v>
      </c>
      <c r="F14" s="10">
        <v>78000</v>
      </c>
      <c r="G14" s="10">
        <v>20000</v>
      </c>
      <c r="H14" s="10">
        <f t="shared" si="0"/>
        <v>98000</v>
      </c>
      <c r="I14" s="6">
        <f t="shared" si="1"/>
        <v>522000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System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devvrat yadav</cp:lastModifiedBy>
  <dcterms:created xsi:type="dcterms:W3CDTF">2026-10-20T16:52:55Z</dcterms:created>
  <dcterms:modified xsi:type="dcterms:W3CDTF">2026-10-20T16:58:30Z</dcterms:modified>
</cp:coreProperties>
</file>